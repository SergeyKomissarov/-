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20730" windowHeight="11760"/>
  </bookViews>
  <sheets>
    <sheet name="Sheet1" sheetId="1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<sst xmlns="http://schemas.openxmlformats.org/spreadsheetml/2006/main" count="12" uniqueCount="11">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</sst>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0.000"/>
    <numFmt numFmtId="166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1" xfId="0" applyNumberFormat="1" applyBorder="1"/>
    <xf numFmtId="0" fontId="0" fillId="0" borderId="0" xfId="0" applyBorder="1"/>
    <xf numFmtId="0" fontId="0" fillId="0" borderId="0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Sheet1!$F$13:$AJ$13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293.28624346693624</c:v>
                </c:pt>
                <c:pt idx="2">
                  <c:v>286.57351596044163</c:v>
                </c:pt>
                <c:pt idx="3">
                  <c:v>279.86078845394701</c:v>
                </c:pt>
                <c:pt idx="4">
                  <c:v>273.15110305375981</c:v>
                </c:pt>
                <c:pt idx="5">
                  <c:v>266.44141765357256</c:v>
                </c:pt>
                <c:pt idx="6">
                  <c:v>259.73665448478408</c:v>
                </c:pt>
                <c:pt idx="7">
                  <c:v>253.03189131599561</c:v>
                </c:pt>
                <c:pt idx="8">
                  <c:v>246.33371537856041</c:v>
                </c:pt>
                <c:pt idx="9">
                  <c:v>239.63553944112522</c:v>
                </c:pt>
                <c:pt idx="10">
                  <c:v>232.9453278413726</c:v>
                </c:pt>
                <c:pt idx="11">
                  <c:v>226.25511624161999</c:v>
                </c:pt>
                <c:pt idx="12">
                  <c:v>219.57389800609968</c:v>
                </c:pt>
                <c:pt idx="13">
                  <c:v>212.89267977057938</c:v>
                </c:pt>
                <c:pt idx="14">
                  <c:v>206.22109087266466</c:v>
                </c:pt>
                <c:pt idx="15">
                  <c:v>199.54950197474994</c:v>
                </c:pt>
                <c:pt idx="16">
                  <c:v>192.88775753955161</c:v>
                </c:pt>
                <c:pt idx="17">
                  <c:v>186.22601310435331</c:v>
                </c:pt>
                <c:pt idx="18">
                  <c:v>179.57389800672252</c:v>
                </c:pt>
                <c:pt idx="19">
                  <c:v>172.92178290909169</c:v>
                </c:pt>
                <c:pt idx="20">
                  <c:v>166.2786611756236</c:v>
                </c:pt>
                <c:pt idx="21">
                  <c:v>159.6355394421555</c:v>
                </c:pt>
                <c:pt idx="22">
                  <c:v>153.00038204628092</c:v>
                </c:pt>
                <c:pt idx="23">
                  <c:v>146.36522465040633</c:v>
                </c:pt>
                <c:pt idx="24">
                  <c:v>139.73665448579186</c:v>
                </c:pt>
                <c:pt idx="25">
                  <c:v>133.10808432117742</c:v>
                </c:pt>
                <c:pt idx="26">
                  <c:v>126.48443638788059</c:v>
                </c:pt>
                <c:pt idx="27">
                  <c:v>119.86078845458377</c:v>
                </c:pt>
                <c:pt idx="28">
                  <c:v>113.24018262753927</c:v>
                </c:pt>
                <c:pt idx="29">
                  <c:v>106.61957680049478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87296"/>
        <c:axId val="195465600"/>
      </c:scatterChart>
      <c:valAx>
        <c:axId val="37687296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195465600"/>
        <c:crosses val="autoZero"/>
        <c:crossBetween val="midCat"/>
      </c:valAx>
      <c:valAx>
        <c:axId val="195465600"/>
        <c:scaling>
          <c:orientation val="minMax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 b="1" i="1"/>
            </a:pPr>
            <a:endParaRPr lang="ru-RU"/>
          </a:p>
        </c:txPr>
        <c:crossAx val="376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504424</xdr:colOff>
      <xdr:row>17</xdr:row>
      <xdr:rowOff>50442</xdr:rowOff>
    </xdr:from>
    <xdr:to>
      <xdr:col>14</xdr:col>
      <xdr:colOff>362218</xdr:colOff>
      <xdr:row>39</xdr:row>
      <xdr:rowOff>80493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575794</xdr:colOff>
      <xdr:row>17</xdr:row>
      <xdr:rowOff>173327</xdr:rowOff>
    </xdr:from>
    <xdr:ext cx="510861" cy="31149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3554033" y="3366214"/>
              <a:ext cx="510861" cy="31149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/>
                      </a:rPr>
                      <m:t>𝑇</m:t>
                    </m:r>
                    <m:r>
                      <a:rPr lang="en-US" sz="1400" b="0" i="1">
                        <a:latin typeface="Cambria Math"/>
                      </a:rPr>
                      <m:t>,(</m:t>
                    </m:r>
                    <m:r>
                      <a:rPr lang="en-US" sz="1400" b="0" i="1">
                        <a:latin typeface="Cambria Math"/>
                      </a:rPr>
                      <m:t>𝐶</m:t>
                    </m:r>
                    <m:r>
                      <a:rPr lang="en-US" sz="1400" b="0" i="1">
                        <a:latin typeface="Cambria Math"/>
                      </a:rPr>
                      <m:t>)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3554033" y="3366214"/>
              <a:ext cx="510861" cy="31149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0" i="0">
                  <a:latin typeface="Cambria Math"/>
                </a:rPr>
                <a:t>𝑇,(𝐶)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13</xdr:col>
      <xdr:colOff>39173</xdr:colOff>
      <xdr:row>37</xdr:row>
      <xdr:rowOff>119667</xdr:rowOff>
    </xdr:from>
    <xdr:ext cx="685263" cy="31149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7162800" y="7068892"/>
              <a:ext cx="685263" cy="31149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/>
                      </a:rPr>
                      <m:t>𝐿</m:t>
                    </m:r>
                    <m:r>
                      <a:rPr lang="en-US" sz="1400" b="0" i="1">
                        <a:latin typeface="Cambria Math"/>
                      </a:rPr>
                      <m:t>,(</m:t>
                    </m:r>
                    <m:r>
                      <a:rPr lang="en-US" sz="1400" b="0" i="1">
                        <a:latin typeface="Cambria Math"/>
                      </a:rPr>
                      <m:t>𝑚</m:t>
                    </m:r>
                    <m:r>
                      <a:rPr lang="en-US" sz="1400" b="0" i="1">
                        <a:latin typeface="Cambria Math"/>
                      </a:rPr>
                      <m:t>)</m:t>
                    </m:r>
                  </m:oMath>
                </m:oMathPara>
              </a14:m>
              <a:endParaRPr lang="ru-RU" sz="14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7162800" y="7068892"/>
              <a:ext cx="685263" cy="31149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400" b="0" i="0">
                  <a:latin typeface="Cambria Math"/>
                </a:rPr>
                <a:t>𝐿,(𝑚)</a:t>
              </a:r>
              <a:endParaRPr lang="ru-RU" sz="1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15"/>
  <sheetViews>
    <sheetView tabSelected="1" zoomScale="71" zoomScaleNormal="71" workbookViewId="0">
      <selection activeCell="G13" sqref="G13:AI13"/>
    </sheetView>
  </sheetViews>
  <sheetFormatPr defaultRowHeight="15" x14ac:dyDescent="0.25"/>
  <cols>
    <col min="3" max="3" width="17.42578125" bestFit="1" customWidth="1"/>
    <col min="6" max="36" width="6.5703125" bestFit="1" customWidth="1"/>
  </cols>
  <sheetData>
    <row r="3" spans="1:36" x14ac:dyDescent="0.25">
      <c r="B3" s="2" t="s">
        <v>0</v>
      </c>
      <c r="C3" s="2">
        <v>0.1</v>
      </c>
    </row>
    <row r="4" spans="1:36" x14ac:dyDescent="0.25">
      <c r="B4" s="2" t="s">
        <v>1</v>
      </c>
      <c r="C4" s="3">
        <f>C3/30</f>
        <v>3.3333333333333335E-3</v>
      </c>
    </row>
    <row r="5" spans="1:36" x14ac:dyDescent="0.25">
      <c r="B5" s="2" t="s">
        <v>2</v>
      </c>
      <c r="C5" s="7">
        <f>(C9*C8*C4^2)/(2*C10)</f>
        <v>0.4333333333333334</v>
      </c>
    </row>
    <row r="6" spans="1:36" x14ac:dyDescent="0.25">
      <c r="B6" s="2" t="s">
        <v>3</v>
      </c>
      <c r="C6" s="2">
        <v>500</v>
      </c>
      <c r="D6">
        <v>500.06666666666672</v>
      </c>
    </row>
    <row r="7" spans="1:36" x14ac:dyDescent="0.25">
      <c r="A7" s="5"/>
      <c r="B7" s="6"/>
      <c r="C7" s="6"/>
      <c r="G7" s="8"/>
    </row>
    <row r="8" spans="1:36" x14ac:dyDescent="0.25">
      <c r="B8" s="2" t="s">
        <v>4</v>
      </c>
      <c r="C8" s="2">
        <v>460</v>
      </c>
    </row>
    <row r="9" spans="1:36" x14ac:dyDescent="0.25">
      <c r="B9" s="2" t="s">
        <v>5</v>
      </c>
      <c r="C9" s="2">
        <v>7800</v>
      </c>
    </row>
    <row r="10" spans="1:36" x14ac:dyDescent="0.25">
      <c r="B10" s="2" t="s">
        <v>6</v>
      </c>
      <c r="C10" s="2">
        <v>46</v>
      </c>
    </row>
    <row r="11" spans="1:36" x14ac:dyDescent="0.25">
      <c r="A11" s="5"/>
      <c r="B11" s="6"/>
      <c r="C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25">
      <c r="B12" s="2" t="s">
        <v>8</v>
      </c>
      <c r="C12" s="2">
        <v>300</v>
      </c>
      <c r="E12" t="s">
        <v>0</v>
      </c>
      <c r="F12" s="3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1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>
        <v>293.28624346693624</v>
      </c>
      <c r="H13">
        <v>286.57351596044163</v>
      </c>
      <c r="I13">
        <v>279.86078845394701</v>
      </c>
      <c r="J13">
        <v>273.15110305375981</v>
      </c>
      <c r="K13">
        <v>266.44141765357256</v>
      </c>
      <c r="L13">
        <v>259.73665448478408</v>
      </c>
      <c r="M13">
        <v>253.03189131599561</v>
      </c>
      <c r="N13">
        <v>246.33371537856041</v>
      </c>
      <c r="O13">
        <v>239.63553944112522</v>
      </c>
      <c r="P13">
        <v>232.9453278413726</v>
      </c>
      <c r="Q13">
        <v>226.25511624161999</v>
      </c>
      <c r="R13">
        <v>219.57389800609968</v>
      </c>
      <c r="S13">
        <v>212.89267977057938</v>
      </c>
      <c r="T13">
        <v>206.22109087266466</v>
      </c>
      <c r="U13">
        <v>199.54950197474994</v>
      </c>
      <c r="V13">
        <v>192.88775753955161</v>
      </c>
      <c r="W13">
        <v>186.22601310435331</v>
      </c>
      <c r="X13">
        <v>179.57389800672252</v>
      </c>
      <c r="Y13">
        <v>172.92178290909169</v>
      </c>
      <c r="Z13">
        <v>166.2786611756236</v>
      </c>
      <c r="AA13">
        <v>159.6355394421555</v>
      </c>
      <c r="AB13">
        <v>153.00038204628092</v>
      </c>
      <c r="AC13">
        <v>146.36522465040633</v>
      </c>
      <c r="AD13">
        <v>139.73665448579186</v>
      </c>
      <c r="AE13">
        <v>133.10808432117742</v>
      </c>
      <c r="AF13">
        <v>126.48443638788059</v>
      </c>
      <c r="AG13">
        <v>119.86078845458377</v>
      </c>
      <c r="AH13">
        <v>113.24018262753927</v>
      </c>
      <c r="AI13">
        <v>106.61957680049478</v>
      </c>
      <c r="AJ13" s="1">
        <f>C13</f>
        <v>100</v>
      </c>
    </row>
    <row r="15" spans="1:36" x14ac:dyDescent="0.25">
      <c r="E15" t="s">
        <v>10</v>
      </c>
      <c r="G15">
        <f>G13+(($C$10*$C$5)/($C$9*$C$8))*((H13-2*G13+F13)/($C$4^2))</f>
        <v>293.28675798022084</v>
      </c>
      <c r="H15">
        <f t="shared" ref="H15:AI15" si="1">H13+(($C$10*$C$5)/($C$9*$C$8))*((I13-2*H13+G13)/($C$4^2))</f>
        <v>286.57351596044163</v>
      </c>
      <c r="I15">
        <f t="shared" si="1"/>
        <v>279.86230950710069</v>
      </c>
      <c r="J15">
        <f t="shared" si="1"/>
        <v>273.15110305375981</v>
      </c>
      <c r="K15">
        <f t="shared" si="1"/>
        <v>266.44387876927192</v>
      </c>
      <c r="L15">
        <f t="shared" si="1"/>
        <v>259.73665448478408</v>
      </c>
      <c r="M15">
        <f t="shared" si="1"/>
        <v>253.03518493167226</v>
      </c>
      <c r="N15">
        <f t="shared" si="1"/>
        <v>246.33371537856041</v>
      </c>
      <c r="O15">
        <f t="shared" si="1"/>
        <v>239.63952160996649</v>
      </c>
      <c r="P15">
        <f t="shared" si="1"/>
        <v>232.9453278413726</v>
      </c>
      <c r="Q15">
        <f t="shared" si="1"/>
        <v>226.25961292373614</v>
      </c>
      <c r="R15">
        <f t="shared" si="1"/>
        <v>219.57389800609968</v>
      </c>
      <c r="S15">
        <f t="shared" si="1"/>
        <v>212.89749443938217</v>
      </c>
      <c r="T15">
        <f t="shared" si="1"/>
        <v>206.22109087266466</v>
      </c>
      <c r="U15">
        <f t="shared" si="1"/>
        <v>199.55442420610814</v>
      </c>
      <c r="V15">
        <f t="shared" si="1"/>
        <v>192.88775753955161</v>
      </c>
      <c r="W15">
        <f t="shared" si="1"/>
        <v>186.23082777313707</v>
      </c>
      <c r="X15">
        <f t="shared" si="1"/>
        <v>179.57389800672252</v>
      </c>
      <c r="Y15">
        <f t="shared" si="1"/>
        <v>172.92627959117306</v>
      </c>
      <c r="Z15">
        <f t="shared" si="1"/>
        <v>166.2786611756236</v>
      </c>
      <c r="AA15">
        <f t="shared" si="1"/>
        <v>159.63952161095227</v>
      </c>
      <c r="AB15">
        <f t="shared" si="1"/>
        <v>153.00038204628092</v>
      </c>
      <c r="AC15">
        <f t="shared" si="1"/>
        <v>146.3685182660364</v>
      </c>
      <c r="AD15">
        <f t="shared" si="1"/>
        <v>139.73665448579186</v>
      </c>
      <c r="AE15">
        <f t="shared" si="1"/>
        <v>133.11054543683622</v>
      </c>
      <c r="AF15">
        <f t="shared" si="1"/>
        <v>126.48443638788059</v>
      </c>
      <c r="AG15">
        <f t="shared" si="1"/>
        <v>119.86230950770994</v>
      </c>
      <c r="AH15">
        <f t="shared" si="1"/>
        <v>113.24018262753927</v>
      </c>
      <c r="AI15">
        <f t="shared" si="1"/>
        <v>106.62009131376963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FF00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ПК</dc:creator>
  <cp:lastModifiedBy>ПК</cp:lastModifiedBy>
  <dcterms:created xsi:type="dcterms:W3CDTF">2015-06-05T18:17:20Z</dcterms:created>
  <dcterms:modified xsi:type="dcterms:W3CDTF">2021-10-03T12:39:41Z</dcterms:modified>
</cp:coreProperties>
</file>